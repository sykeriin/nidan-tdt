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eshwara Rao\Desktop\"/>
    </mc:Choice>
  </mc:AlternateContent>
  <bookViews>
    <workbookView xWindow="0" yWindow="0" windowWidth="2868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3" i="1"/>
  <c r="E17" i="1" l="1"/>
  <c r="E18" i="1"/>
  <c r="E16" i="1"/>
  <c r="F5" i="1"/>
  <c r="G5" i="1" s="1"/>
  <c r="H5" i="1" s="1"/>
  <c r="F6" i="1"/>
  <c r="G6" i="1" s="1"/>
  <c r="H6" i="1" s="1"/>
  <c r="F8" i="1"/>
  <c r="G8" i="1" s="1"/>
  <c r="H8" i="1" s="1"/>
  <c r="F9" i="1"/>
  <c r="G9" i="1" s="1"/>
  <c r="H9" i="1" s="1"/>
  <c r="F10" i="1"/>
  <c r="G10" i="1" s="1"/>
  <c r="H10" i="1" s="1"/>
  <c r="F4" i="1"/>
  <c r="G4" i="1" s="1"/>
  <c r="H4" i="1" s="1"/>
</calcChain>
</file>

<file path=xl/sharedStrings.xml><?xml version="1.0" encoding="utf-8"?>
<sst xmlns="http://schemas.openxmlformats.org/spreadsheetml/2006/main" count="45" uniqueCount="37">
  <si>
    <t>DIFF</t>
  </si>
  <si>
    <t>%</t>
  </si>
  <si>
    <t>CHANNEL-A</t>
  </si>
  <si>
    <t>IR (A)</t>
  </si>
  <si>
    <t>IY (A)</t>
  </si>
  <si>
    <t>IB (A)</t>
  </si>
  <si>
    <t>VR (V)</t>
  </si>
  <si>
    <t>VY (V)</t>
  </si>
  <si>
    <t>VB (V)</t>
  </si>
  <si>
    <t>Is it &lt;= 1%?</t>
  </si>
  <si>
    <t>Difference</t>
  </si>
  <si>
    <t>R</t>
  </si>
  <si>
    <t>Y</t>
  </si>
  <si>
    <t>B</t>
  </si>
  <si>
    <t>Observation noted:</t>
  </si>
  <si>
    <t>Tripped by set current of 50 A.</t>
  </si>
  <si>
    <t>Current trip test (Time in Sec):</t>
  </si>
  <si>
    <t>Current trip test (Current in Amps)</t>
  </si>
  <si>
    <t>Software</t>
  </si>
  <si>
    <t xml:space="preserve">Difference </t>
  </si>
  <si>
    <t>Oil Leakage</t>
  </si>
  <si>
    <t xml:space="preserve">Temperature based tripping </t>
  </si>
  <si>
    <t xml:space="preserve">Setting </t>
  </si>
  <si>
    <t>Measurement of Voltage and Current</t>
  </si>
  <si>
    <t>For any overload</t>
  </si>
  <si>
    <t>Tripping for more temperatures</t>
  </si>
  <si>
    <t xml:space="preserve">Rated </t>
  </si>
  <si>
    <t>Rated</t>
  </si>
  <si>
    <t>Rated level</t>
  </si>
  <si>
    <t>Check of minimum level</t>
  </si>
  <si>
    <t>(To check of leakage, sensor is required)</t>
  </si>
  <si>
    <t>Volume of oil</t>
  </si>
  <si>
    <t>Communication</t>
  </si>
  <si>
    <t>GPRS and Master Number</t>
  </si>
  <si>
    <t>(To intimate about status)</t>
  </si>
  <si>
    <t>(For any unbalance, monitoring, any short circuit  fault, any overload)</t>
  </si>
  <si>
    <t>Implimentatio of AI for further descion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</si>
</sst>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tabSelected="1" zoomScale="85" zoomScaleNormal="85" workbookViewId="0">
      <selection activeCell="P28" sqref="P28"/>
    </sheetView>
  </sheetViews>
  <sheetFormatPr defaultRowHeight="15" x14ac:dyDescent="0.25"/>
  <cols>
    <col min="1" max="1" width="59.7109375" bestFit="1" customWidth="1"/>
    <col min="2" max="2" width="21.5703125" style="2" customWidth="1"/>
    <col min="3" max="3" width="28.7109375" style="1" bestFit="1" customWidth="1"/>
    <col min="4" max="4" width="23.5703125" style="2" bestFit="1" customWidth="1"/>
    <col min="5" max="5" width="10.7109375" style="2" bestFit="1" customWidth="1"/>
    <col min="6" max="6" width="11.28515625" style="1" customWidth="1"/>
    <col min="7" max="7" width="11.7109375" style="2" customWidth="1"/>
    <col min="8" max="8" width="12.140625" style="1" customWidth="1"/>
    <col min="9" max="9" width="10.28515625" bestFit="1" customWidth="1"/>
  </cols>
  <sheetData>
    <row r="2" spans="1:8" x14ac:dyDescent="0.25">
      <c r="A2" s="6" t="s">
        <v>23</v>
      </c>
    </row>
    <row r="3" spans="1:8" x14ac:dyDescent="0.25">
      <c r="A3" s="13" t="s">
        <v>35</v>
      </c>
      <c r="D3" s="15" t="s">
        <v>26</v>
      </c>
      <c r="E3" s="15" t="s">
        <v>18</v>
      </c>
      <c r="F3" s="16" t="s">
        <v>0</v>
      </c>
      <c r="G3" s="15" t="s">
        <v>1</v>
      </c>
      <c r="H3" s="15" t="s">
        <v>9</v>
      </c>
    </row>
    <row r="4" spans="1:8" x14ac:dyDescent="0.25">
      <c r="B4" s="2" t="s">
        <v>2</v>
      </c>
      <c r="C4" s="1" t="s">
        <v>3</v>
      </c>
      <c r="D4" s="3">
        <v>49.79</v>
      </c>
      <c r="E4" s="2">
        <v>49.92</v>
      </c>
      <c r="F4" s="1">
        <f>D4-E4</f>
        <v>-0.13000000000000256</v>
      </c>
      <c r="G4" s="4">
        <f>F4*100/D4</f>
        <v>-0.26109660574413046</v>
      </c>
      <c r="H4" s="1" t="str">
        <f>IF(ABS(G4)&lt;=1,"Yes","No")</f>
        <v>Yes</v>
      </c>
    </row>
    <row r="5" spans="1:8" x14ac:dyDescent="0.25">
      <c r="B5" s="2" t="s">
        <v>2</v>
      </c>
      <c r="C5" s="1" t="s">
        <v>4</v>
      </c>
      <c r="D5" s="3">
        <v>49.78</v>
      </c>
      <c r="E5" s="2">
        <v>49.91</v>
      </c>
      <c r="F5" s="1">
        <f t="shared" ref="F5:F10" si="0">D5-E5</f>
        <v>-0.12999999999999545</v>
      </c>
      <c r="G5" s="4">
        <f t="shared" ref="G5:G10" si="1">F5*100/D5</f>
        <v>-0.26114905584571202</v>
      </c>
      <c r="H5" s="1" t="str">
        <f t="shared" ref="H5:H10" si="2">IF(ABS(G5)&lt;=1,"Yes","No")</f>
        <v>Yes</v>
      </c>
    </row>
    <row r="6" spans="1:8" x14ac:dyDescent="0.25">
      <c r="B6" s="2" t="s">
        <v>2</v>
      </c>
      <c r="C6" s="1" t="s">
        <v>5</v>
      </c>
      <c r="D6" s="3">
        <v>49.8</v>
      </c>
      <c r="E6" s="2">
        <v>49.89</v>
      </c>
      <c r="F6" s="1">
        <f t="shared" si="0"/>
        <v>-9.0000000000003411E-2</v>
      </c>
      <c r="G6" s="4">
        <f t="shared" si="1"/>
        <v>-0.18072289156627191</v>
      </c>
      <c r="H6" s="1" t="str">
        <f t="shared" si="2"/>
        <v>Yes</v>
      </c>
    </row>
    <row r="7" spans="1:8" x14ac:dyDescent="0.25">
      <c r="D7" s="3"/>
      <c r="G7" s="4"/>
    </row>
    <row r="8" spans="1:8" x14ac:dyDescent="0.25">
      <c r="B8" s="10" t="s">
        <v>2</v>
      </c>
      <c r="C8" s="9" t="s">
        <v>6</v>
      </c>
      <c r="D8" s="12">
        <v>259.05</v>
      </c>
      <c r="E8" s="10">
        <v>259.14999999999998</v>
      </c>
      <c r="F8" s="9">
        <f t="shared" si="0"/>
        <v>-9.9999999999965894E-2</v>
      </c>
      <c r="G8" s="11">
        <f t="shared" si="1"/>
        <v>-3.8602586373273844E-2</v>
      </c>
      <c r="H8" s="9" t="str">
        <f t="shared" si="2"/>
        <v>Yes</v>
      </c>
    </row>
    <row r="9" spans="1:8" x14ac:dyDescent="0.25">
      <c r="B9" s="10" t="s">
        <v>2</v>
      </c>
      <c r="C9" s="9" t="s">
        <v>7</v>
      </c>
      <c r="D9" s="12">
        <v>259.91000000000003</v>
      </c>
      <c r="E9" s="10">
        <v>259.98</v>
      </c>
      <c r="F9" s="9">
        <f t="shared" si="0"/>
        <v>-6.9999999999993179E-2</v>
      </c>
      <c r="G9" s="11">
        <f t="shared" si="1"/>
        <v>-2.6932399676808577E-2</v>
      </c>
      <c r="H9" s="9" t="str">
        <f t="shared" si="2"/>
        <v>Yes</v>
      </c>
    </row>
    <row r="10" spans="1:8" x14ac:dyDescent="0.25">
      <c r="B10" s="10" t="s">
        <v>2</v>
      </c>
      <c r="C10" s="9" t="s">
        <v>8</v>
      </c>
      <c r="D10" s="12">
        <v>264.39999999999998</v>
      </c>
      <c r="E10" s="10">
        <v>264.52</v>
      </c>
      <c r="F10" s="9">
        <f t="shared" si="0"/>
        <v>-0.12000000000000455</v>
      </c>
      <c r="G10" s="11">
        <f t="shared" si="1"/>
        <v>-4.5385779122543331E-2</v>
      </c>
      <c r="H10" s="9" t="str">
        <f t="shared" si="2"/>
        <v>Yes</v>
      </c>
    </row>
    <row r="12" spans="1:8" x14ac:dyDescent="0.25">
      <c r="A12" s="6" t="s">
        <v>16</v>
      </c>
    </row>
    <row r="13" spans="1:8" x14ac:dyDescent="0.25">
      <c r="A13" s="14" t="s">
        <v>24</v>
      </c>
    </row>
    <row r="14" spans="1:8" x14ac:dyDescent="0.25">
      <c r="B14" s="2" t="s">
        <v>17</v>
      </c>
    </row>
    <row r="15" spans="1:8" x14ac:dyDescent="0.25">
      <c r="C15" s="16" t="s">
        <v>27</v>
      </c>
      <c r="D15" s="15" t="s">
        <v>18</v>
      </c>
      <c r="E15" s="15" t="s">
        <v>10</v>
      </c>
    </row>
    <row r="16" spans="1:8" x14ac:dyDescent="0.25">
      <c r="B16" s="2" t="s">
        <v>11</v>
      </c>
      <c r="C16" s="7">
        <v>50.14</v>
      </c>
      <c r="D16" s="7">
        <v>50.33</v>
      </c>
      <c r="E16" s="2">
        <f>D16-C16</f>
        <v>0.18999999999999773</v>
      </c>
    </row>
    <row r="17" spans="1:6" x14ac:dyDescent="0.25">
      <c r="B17" s="2" t="s">
        <v>12</v>
      </c>
      <c r="C17" s="7">
        <v>50.13</v>
      </c>
      <c r="D17" s="7">
        <v>50.34</v>
      </c>
      <c r="E17" s="2">
        <f t="shared" ref="E17:E18" si="3">D17-C17</f>
        <v>0.21000000000000085</v>
      </c>
    </row>
    <row r="18" spans="1:6" x14ac:dyDescent="0.25">
      <c r="B18" s="2" t="s">
        <v>13</v>
      </c>
      <c r="C18" s="7">
        <v>49.81</v>
      </c>
      <c r="D18" s="7">
        <v>49.98</v>
      </c>
      <c r="E18" s="2">
        <f t="shared" si="3"/>
        <v>0.1699999999999946</v>
      </c>
    </row>
    <row r="19" spans="1:6" x14ac:dyDescent="0.25">
      <c r="B19" s="2" t="s">
        <v>14</v>
      </c>
      <c r="C19" s="8" t="s">
        <v>15</v>
      </c>
      <c r="D19" s="7"/>
    </row>
    <row r="21" spans="1:6" x14ac:dyDescent="0.25">
      <c r="A21" s="6" t="s">
        <v>21</v>
      </c>
    </row>
    <row r="22" spans="1:6" x14ac:dyDescent="0.25">
      <c r="A22" s="14" t="s">
        <v>25</v>
      </c>
      <c r="C22" s="17" t="s">
        <v>22</v>
      </c>
      <c r="D22" s="15" t="s">
        <v>27</v>
      </c>
      <c r="E22" s="15" t="s">
        <v>18</v>
      </c>
      <c r="F22" s="18" t="s">
        <v>19</v>
      </c>
    </row>
    <row r="23" spans="1:6" x14ac:dyDescent="0.25">
      <c r="B23" s="2">
        <v>1</v>
      </c>
      <c r="C23" s="5">
        <v>60</v>
      </c>
      <c r="D23" s="1">
        <v>59.9</v>
      </c>
      <c r="E23" s="10">
        <v>60.25</v>
      </c>
      <c r="F23" s="1">
        <f>E23-D23</f>
        <v>0.35000000000000142</v>
      </c>
    </row>
    <row r="24" spans="1:6" x14ac:dyDescent="0.25">
      <c r="B24" s="2">
        <v>2</v>
      </c>
      <c r="C24" s="5">
        <v>60</v>
      </c>
      <c r="D24" s="1">
        <v>59.45</v>
      </c>
      <c r="E24" s="10">
        <v>60</v>
      </c>
      <c r="F24" s="1">
        <f t="shared" ref="F24:F25" si="4">E24-D24</f>
        <v>0.54999999999999716</v>
      </c>
    </row>
    <row r="25" spans="1:6" x14ac:dyDescent="0.25">
      <c r="B25" s="2">
        <v>3</v>
      </c>
      <c r="C25" s="5">
        <v>60</v>
      </c>
      <c r="D25" s="1">
        <v>59.5</v>
      </c>
      <c r="E25" s="10">
        <v>59.75</v>
      </c>
      <c r="F25" s="1">
        <f t="shared" si="4"/>
        <v>0.25</v>
      </c>
    </row>
    <row r="26" spans="1:6" x14ac:dyDescent="0.25">
      <c r="F26" s="2"/>
    </row>
    <row r="27" spans="1:6" x14ac:dyDescent="0.25">
      <c r="C27" s="2"/>
    </row>
    <row r="28" spans="1:6" x14ac:dyDescent="0.25">
      <c r="A28" s="6" t="s">
        <v>20</v>
      </c>
      <c r="C28" s="15" t="s">
        <v>28</v>
      </c>
      <c r="D28" s="15" t="s">
        <v>29</v>
      </c>
    </row>
    <row r="29" spans="1:6" x14ac:dyDescent="0.25">
      <c r="A29" s="19" t="s">
        <v>30</v>
      </c>
      <c r="C29" s="1" t="s">
        <v>31</v>
      </c>
    </row>
    <row r="32" spans="1:6" x14ac:dyDescent="0.25">
      <c r="A32" s="6" t="s">
        <v>32</v>
      </c>
      <c r="C32" s="16" t="s">
        <v>33</v>
      </c>
    </row>
    <row r="33" spans="1:1" x14ac:dyDescent="0.25">
      <c r="A33" s="19" t="s">
        <v>34</v>
      </c>
    </row>
    <row r="35" spans="1:1" x14ac:dyDescent="0.25">
      <c r="A35" s="6" t="s">
        <v>36</v>
      </c>
    </row>
  </sheetData>
  <pageMargins left="0.7" right="0.7" top="0.75" bottom="0.75" header="0.3" footer="0.3"/>
  <pageSetup scale="5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Maheshwara Rao</cp:lastModifiedBy>
  <cp:lastPrinted>2023-02-09T12:57:59Z</cp:lastPrinted>
  <dcterms:created xsi:type="dcterms:W3CDTF">2023-01-20T12:13:21Z</dcterms:created>
  <dcterms:modified xsi:type="dcterms:W3CDTF">2026-08-25T13:00:29Z</dcterms:modified>
</cp:coreProperties>
</file>